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ier" sheetId="1" state="visible" r:id="rId3"/>
    <sheet name="Coût final" sheetId="2" state="visible" r:id="rId4"/>
    <sheet name="Options" sheetId="3" state="visible" r:id="rId5"/>
    <sheet name="À savoi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<sst xmlns="http://schemas.openxmlformats.org/spreadsheetml/2006/main" count="147" uniqueCount="127">
  <si>
    <t xml:space="preserve">Panier PC gaming ASUS, Core Ultra 7 + RTX 5060</t>
  </si>
  <si>
    <t xml:space="preserve">Prix relevés sur ldlc.com le 1er octobre 2026, boîtier non inclus (acheté sur place en Polynésie).</t>
  </si>
  <si>
    <t xml:space="preserve">Pièce</t>
  </si>
  <si>
    <t xml:space="preserve">Produit</t>
  </si>
  <si>
    <t xml:space="preserve">Fiche LDLC</t>
  </si>
  <si>
    <t xml:space="preserve">Prix TTC France (€)</t>
  </si>
  <si>
    <t xml:space="preserve">Prix HT DOM-TOM (€)</t>
  </si>
  <si>
    <t xml:space="preserve">Ajouté au panier ?</t>
  </si>
  <si>
    <t xml:space="preserve">Remarque</t>
  </si>
  <si>
    <t xml:space="preserve">Processeur</t>
  </si>
  <si>
    <t xml:space="preserve">Intel Core Ultra 7 270K Plus</t>
  </si>
  <si>
    <t xml:space="preserve">Voir la fiche</t>
  </si>
  <si>
    <t xml:space="preserve">Non</t>
  </si>
  <si>
    <t xml:space="preserve">24 cœurs, puce graphique intégrée</t>
  </si>
  <si>
    <t xml:space="preserve">Ventirad</t>
  </si>
  <si>
    <t xml:space="preserve">Thermalright Peerless Assassin 120 SE</t>
  </si>
  <si>
    <t xml:space="preserve">Prix estimé : à vérifier sur la fiche</t>
  </si>
  <si>
    <t xml:space="preserve">Carte mère</t>
  </si>
  <si>
    <t xml:space="preserve">ASUS TUF GAMING B860-PLUS WIFI</t>
  </si>
  <si>
    <t xml:space="preserve">Gamme TUF, Wi-Fi 7, 4 emplacements RAM</t>
  </si>
  <si>
    <t xml:space="preserve">Mémoire</t>
  </si>
  <si>
    <t xml:space="preserve">Kingston FURY Beast 16 Go (2 × 8 Go) DDR5 6000 CL30</t>
  </si>
  <si>
    <t xml:space="preserve">16 Go maintenant, extensible plus tard</t>
  </si>
  <si>
    <t xml:space="preserve">Carte graphique</t>
  </si>
  <si>
    <t xml:space="preserve">ASUS TUF Gaming GeForce RTX 5060 OC 8 Go</t>
  </si>
  <si>
    <t xml:space="preserve">À remplacer plus tard par une carte plus puissante</t>
  </si>
  <si>
    <t xml:space="preserve">SSD</t>
  </si>
  <si>
    <t xml:space="preserve">Samsung SSD 990 NVMe 1 To</t>
  </si>
  <si>
    <t xml:space="preserve">Alimentation</t>
  </si>
  <si>
    <t xml:space="preserve">Corsair RM850e (2025)</t>
  </si>
  <si>
    <t xml:space="preserve">850 W, garantie constructeur 7 ans</t>
  </si>
  <si>
    <t xml:space="preserve">Total pièces</t>
  </si>
  <si>
    <t xml:space="preserve">Mode d'emploi</t>
  </si>
  <si>
    <t xml:space="preserve">Texte bleu = valeur que tu peux modifier (prix si LDLC a changé, Oui/Non quand la pièce est dans ton panier). Tout le reste se calcule seul.</t>
  </si>
  <si>
    <t xml:space="preserve">Le coût final douane comprise est dans l'onglet « Coût final ». Les variantes moins chères sont dans l'onglet « Options ».</t>
  </si>
  <si>
    <t xml:space="preserve">Coût réel arrivé en Polynésie</t>
  </si>
  <si>
    <t xml:space="preserve">Modifie les cellules surlignées en jaune ou en bleu : le total se recalcule.</t>
  </si>
  <si>
    <t xml:space="preserve">Paramètre</t>
  </si>
  <si>
    <t xml:space="preserve">Valeur</t>
  </si>
  <si>
    <t xml:space="preserve">Source ou commentaire</t>
  </si>
  <si>
    <t xml:space="preserve">TVA française retirée par LDLC</t>
  </si>
  <si>
    <t xml:space="preserve">LDLC facture les commandes DOM-TOM hors taxe (ldlc.com/aide/22-livraison-dans-les-dom-tom)</t>
  </si>
  <si>
    <t xml:space="preserve">Frais de port LDLC</t>
  </si>
  <si>
    <t xml:space="preserve">Hypothèse : remplace par le montant affiché par LDLC à l'étape paiement</t>
  </si>
  <si>
    <t xml:space="preserve">Droit de douane</t>
  </si>
  <si>
    <t xml:space="preserve">Taux des ordinateurs portables (position 8471 30 00), hypothèse prudente pour les composants</t>
  </si>
  <si>
    <t xml:space="preserve">TEAP</t>
  </si>
  <si>
    <t xml:space="preserve">Taxe pour l'environnement, l'agriculture et la pêche</t>
  </si>
  <si>
    <t xml:space="preserve">Péage</t>
  </si>
  <si>
    <t xml:space="preserve">Douane de Polynésie française</t>
  </si>
  <si>
    <t xml:space="preserve">TEEI</t>
  </si>
  <si>
    <t xml:space="preserve">Taxe sur les équipements électriques importés</t>
  </si>
  <si>
    <t xml:space="preserve">Petites taxes fixes (PID, SETIL, statistique)</t>
  </si>
  <si>
    <t xml:space="preserve">Estimation : PID 85 XPF par article de déclaration + SETIL + taxe statistique</t>
  </si>
  <si>
    <t xml:space="preserve">TVA Polynésie</t>
  </si>
  <si>
    <t xml:space="preserve">Taux normal, appliqué sur la valeur CAF + droits et taxes</t>
  </si>
  <si>
    <t xml:space="preserve">Frais de dédouanement</t>
  </si>
  <si>
    <t xml:space="preserve">Estimation : au-delà de 50 000 XPF, déclaration par un commissionnaire en douane à tes frais</t>
  </si>
  <si>
    <t xml:space="preserve">Budget maximum</t>
  </si>
  <si>
    <t xml:space="preserve">Ton budget</t>
  </si>
  <si>
    <t xml:space="preserve">Taux de change (XPF pour 1 €)</t>
  </si>
  <si>
    <t xml:space="preserve">Parité fixe euro / franc Pacifique</t>
  </si>
  <si>
    <t xml:space="preserve">Calcul</t>
  </si>
  <si>
    <t xml:space="preserve">Montant</t>
  </si>
  <si>
    <t xml:space="preserve">Pièces hors taxe (onglet Panier)</t>
  </si>
  <si>
    <t xml:space="preserve">Valeur CAF (pièces HT + port)</t>
  </si>
  <si>
    <t xml:space="preserve">TEAP + péage + TEEI</t>
  </si>
  <si>
    <t xml:space="preserve">Petites taxes fixes</t>
  </si>
  <si>
    <t xml:space="preserve">Base de calcul de la TVA polynésienne</t>
  </si>
  <si>
    <t xml:space="preserve">Total à payer à la douane</t>
  </si>
  <si>
    <t xml:space="preserve">Total à payer à la douane, en XPF</t>
  </si>
  <si>
    <t xml:space="preserve">COÛT TOTAL ARRIVÉ CHEZ TOI</t>
  </si>
  <si>
    <t xml:space="preserve">Coût total en francs Pacifique</t>
  </si>
  <si>
    <t xml:space="preserve">Écart avec le budget (positif = marge restante)</t>
  </si>
  <si>
    <t xml:space="preserve">Verdict</t>
  </si>
  <si>
    <t xml:space="preserve">Frais de port maximum pour rester dans le budget</t>
  </si>
  <si>
    <t xml:space="preserve">Estimation : le montant exact sera celui de la déclaration en douane. Taux issus du tarif des douanes de Polynésie française.</t>
  </si>
  <si>
    <t xml:space="preserve">Variantes possibles</t>
  </si>
  <si>
    <t xml:space="preserve">Chaque ligne montre le coût total si tu fais seulement ce changement-là.</t>
  </si>
  <si>
    <t xml:space="preserve">Option</t>
  </si>
  <si>
    <t xml:space="preserve">Remplace</t>
  </si>
  <si>
    <t xml:space="preserve">Prix option TTC (€)</t>
  </si>
  <si>
    <t xml:space="preserve">Prix actuel TTC (€)</t>
  </si>
  <si>
    <t xml:space="preserve">Écart TTC (€)</t>
  </si>
  <si>
    <t xml:space="preserve">Coût total arrivé (€)</t>
  </si>
  <si>
    <t xml:space="preserve">En XPF</t>
  </si>
  <si>
    <t xml:space="preserve">Budget</t>
  </si>
  <si>
    <t xml:space="preserve">ASUS PRIME B860-PLUS WIFI</t>
  </si>
  <si>
    <t xml:space="preserve">Carte mère TUF</t>
  </si>
  <si>
    <t xml:space="preserve">Cooler Master Elite Gold 850</t>
  </si>
  <si>
    <t xml:space="preserve">Alimentation Corsair</t>
  </si>
  <si>
    <t xml:space="preserve">ASUS Dual GeForce RTX 5060 OC 8 Go</t>
  </si>
  <si>
    <t xml:space="preserve">Carte graphique TUF</t>
  </si>
  <si>
    <t xml:space="preserve">Textorm 32 Go (2 × 16 Go) DDR5 6000 CL36</t>
  </si>
  <si>
    <t xml:space="preserve">Mémoire 16 Go</t>
  </si>
  <si>
    <t xml:space="preserve">Texte vert = valeur reprise de l'onglet Panier. Pour adopter une option, remplace le produit et son prix dans l'onglet Panier.</t>
  </si>
  <si>
    <t xml:space="preserve">À savoir avant et après la commande</t>
  </si>
  <si>
    <t xml:space="preserve">Jeux visés : Battlefield 6, Dune: Awakening, ARC Raiders, Once Human.</t>
  </si>
  <si>
    <t xml:space="preserve">Jeu</t>
  </si>
  <si>
    <t xml:space="preserve">Carte graphique recommandée</t>
  </si>
  <si>
    <t xml:space="preserve">Processeur recommandé</t>
  </si>
  <si>
    <t xml:space="preserve">Battlefield 6</t>
  </si>
  <si>
    <t xml:space="preserve">RTX 3060 Ti / RX 6700 XT</t>
  </si>
  <si>
    <t xml:space="preserve">Core i7-10700 / Ryzen 7 3700X</t>
  </si>
  <si>
    <t xml:space="preserve">Dune: Awakening</t>
  </si>
  <si>
    <t xml:space="preserve">RTX 3070 / RX 6700 XT</t>
  </si>
  <si>
    <t xml:space="preserve">Core i7-10700K / Ryzen 5 2600X</t>
  </si>
  <si>
    <t xml:space="preserve">ARC Raiders</t>
  </si>
  <si>
    <t xml:space="preserve">RTX 2070 / RX 5700 XT</t>
  </si>
  <si>
    <t xml:space="preserve">Core i5-9600K / Ryzen 5 3600</t>
  </si>
  <si>
    <t xml:space="preserve">Once Human</t>
  </si>
  <si>
    <t xml:space="preserve">GTX 1060 / RX 580</t>
  </si>
  <si>
    <t xml:space="preserve">Core i7-7700</t>
  </si>
  <si>
    <t xml:space="preserve">Avec la RTX 5060 (8 Go) : vise le 1080p en élevé, ou le 1440p avec le DLSS 4. La future carte graphique ouvrira le 1440p en élevé.</t>
  </si>
  <si>
    <t xml:space="preserve">Checklist</t>
  </si>
  <si>
    <t xml:space="preserve">☐  Boîtier acheté sur place : format ATX, ventirad jusqu'à 160 mm de haut, carte graphique de la longueur du modèle choisi, filtres à poussière.</t>
  </si>
  <si>
    <t xml:space="preserve">☐  Mettre le BIOS de la carte mère à jour avant d'installer Windows.</t>
  </si>
  <si>
    <t xml:space="preserve">☐  Battlefield 6 : activer le TPM (Intel PTT) et le Secure Boot dans le BIOS.</t>
  </si>
  <si>
    <t xml:space="preserve">☐  Prévoir une licence Windows : elle n'est pas dans le panier.</t>
  </si>
  <si>
    <t xml:space="preserve">☐  Brancher le PC sur une multiprise parafoudre ou un onduleur (orages), dépoussiérer tous les 3 à 6 mois.</t>
  </si>
  <si>
    <t xml:space="preserve">☐  L'alimentation 850 W est déjà dimensionnée pour la future carte graphique.</t>
  </si>
  <si>
    <t xml:space="preserve">☐  LDLC peut imposer Chronopost au lieu de Colissimo pour un colis lourd : le port change alors.</t>
  </si>
  <si>
    <t xml:space="preserve">☐  Garder les emballages et tester toutes les pièces dès réception : un retour SAV vers la métropole coûte cher.</t>
  </si>
  <si>
    <t xml:space="preserve">Sources</t>
  </si>
  <si>
    <t xml:space="preserve">LDLC, livraison dans les DOM-TOM</t>
  </si>
  <si>
    <t xml:space="preserve">Douane de Polynésie française, taxation du matériel électronique</t>
  </si>
  <si>
    <t xml:space="preserve">Douane, 10 questions sur l'export vers la Polynésie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</si>
</sst>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&quot; €&quot;"/>
    <numFmt numFmtId="166" formatCode="0.00%"/>
    <numFmt numFmtId="167" formatCode="#,##0&quot; €&quot;"/>
    <numFmt numFmtId="168" formatCode="0.000"/>
    <numFmt numFmtId="169" formatCode="#,##0&quot; XPF&quot;"/>
    <numFmt numFmtId="170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D2B33"/>
      <name val="Arial"/>
      <family val="0"/>
      <charset val="1"/>
    </font>
    <font>
      <i val="true"/>
      <sz val="10"/>
      <color rgb="FF4D676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D2B33"/>
      <name val="Arial"/>
      <family val="0"/>
      <charset val="1"/>
    </font>
    <font>
      <sz val="10"/>
      <color rgb="FF0D2B33"/>
      <name val="Arial"/>
      <family val="0"/>
      <charset val="1"/>
    </font>
    <font>
      <u val="single"/>
      <sz val="10"/>
      <color rgb="FF127C82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4D676D"/>
      <name val="Arial"/>
      <family val="0"/>
      <charset val="1"/>
    </font>
    <font>
      <b val="true"/>
      <sz val="12"/>
      <color rgb="FF0D2B33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B33"/>
        <bgColor rgb="FF333333"/>
      </patternFill>
    </fill>
    <fill>
      <patternFill patternType="solid">
        <fgColor rgb="FFD6E6E4"/>
        <bgColor rgb="FFC6EFCE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3D3D1"/>
      </left>
      <right style="thin">
        <color rgb="FFC3D3D1"/>
      </right>
      <top style="thin">
        <color rgb="FFC3D3D1"/>
      </top>
      <bottom style="thin">
        <color rgb="FFC3D3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AE2F5E"/>
      </font>
    </dxf>
    <dxf>
      <font>
        <name val="Arial"/>
        <charset val="1"/>
        <family val="0"/>
        <b val="1"/>
        <color rgb="FF11736F"/>
      </font>
    </dxf>
    <dxf>
      <fill>
        <patternFill>
          <bgColor rgb="FFC6EFCE"/>
        </patternFill>
      </fill>
    </dxf>
    <dxf>
      <fill>
        <patternFill>
          <bgColor rgb="FFF8D7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7C82"/>
      <rgbColor rgb="FFC3D3D1"/>
      <rgbColor rgb="FF808080"/>
      <rgbColor rgb="FF9999FF"/>
      <rgbColor rgb="FFAE2F5E"/>
      <rgbColor rgb="FFFFFFCC"/>
      <rgbColor rgb="FFD6E6E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11736F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D7E2"/>
      <rgbColor rgb="FF3366FF"/>
      <rgbColor rgb="FF33CCCC"/>
      <rgbColor rgb="FF99CC00"/>
      <rgbColor rgb="FFFFCC00"/>
      <rgbColor rgb="FFFF9900"/>
      <rgbColor rgb="FFFF6600"/>
      <rgbColor rgb="FF4D676D"/>
      <rgbColor rgb="FF969696"/>
      <rgbColor rgb="FF0D2B33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dlc.com/fiche/PB00733012.html" TargetMode="External"/><Relationship Id="rId2" Type="http://schemas.openxmlformats.org/officeDocument/2006/relationships/hyperlink" Target="https://www.ldlc.com/fiche/PB00581740.html" TargetMode="External"/><Relationship Id="rId3" Type="http://schemas.openxmlformats.org/officeDocument/2006/relationships/hyperlink" Target="https://www.ldlc.com/fiche/PB00660870.html" TargetMode="External"/><Relationship Id="rId4" Type="http://schemas.openxmlformats.org/officeDocument/2006/relationships/hyperlink" Target="https://www.ldlc.com/fiche/PB00654322.html" TargetMode="External"/><Relationship Id="rId5" Type="http://schemas.openxmlformats.org/officeDocument/2006/relationships/hyperlink" Target="https://www.ldlc.com/fiche/PB00686247.html" TargetMode="External"/><Relationship Id="rId6" Type="http://schemas.openxmlformats.org/officeDocument/2006/relationships/hyperlink" Target="https://www.ldlc.com/fiche/PB00747904.html" TargetMode="External"/><Relationship Id="rId7" Type="http://schemas.openxmlformats.org/officeDocument/2006/relationships/hyperlink" Target="https://www.ldlc.com/fiche/PB00663406.html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ldlc.com/fiche/PB00660755.html" TargetMode="External"/><Relationship Id="rId2" Type="http://schemas.openxmlformats.org/officeDocument/2006/relationships/hyperlink" Target="https://www.ldlc.com/fiche/PB00747542.html" TargetMode="External"/><Relationship Id="rId3" Type="http://schemas.openxmlformats.org/officeDocument/2006/relationships/hyperlink" Target="https://www.ldlc.com/fiche/PB00681083.html" TargetMode="External"/><Relationship Id="rId4" Type="http://schemas.openxmlformats.org/officeDocument/2006/relationships/hyperlink" Target="https://www.ldlc.com/fiche/PB00742029.html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ldlc.com/aide/22-livraison-dans-les-dom-tom/" TargetMode="External"/><Relationship Id="rId2" Type="http://schemas.openxmlformats.org/officeDocument/2006/relationships/hyperlink" Target="https://douane.application-proxi.com/p/taxation-de-quelques-produits-de-consommation-courante" TargetMode="External"/><Relationship Id="rId3" Type="http://schemas.openxmlformats.org/officeDocument/2006/relationships/hyperlink" Target="https://www.douane.gouv.fr/sites/default/files/2021-05/10/10-questions-export-polynesie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6" min="4" style="0" width="17"/>
    <col collapsed="false" customWidth="true" hidden="false" outlineLevel="0" max="7" min="7" style="0" width="42"/>
  </cols>
  <sheetData>
    <row r="1" customFormat="false" ht="25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s">
        <v>10</v>
      </c>
      <c r="C5" s="6" t="s">
        <v>11</v>
      </c>
      <c r="D5" s="7" t="n">
        <v>399.95</v>
      </c>
      <c r="E5" s="8" t="n">
        <f aca="false">D5/(1+'Coût final'!$C$5)</f>
        <v>333.291666666667</v>
      </c>
      <c r="F5" s="9" t="s">
        <v>12</v>
      </c>
      <c r="G5" s="10" t="s">
        <v>13</v>
      </c>
    </row>
    <row r="6" customFormat="false" ht="15" hidden="false" customHeight="false" outlineLevel="0" collapsed="false">
      <c r="A6" s="4" t="s">
        <v>14</v>
      </c>
      <c r="B6" s="5" t="s">
        <v>15</v>
      </c>
      <c r="C6" s="6" t="s">
        <v>11</v>
      </c>
      <c r="D6" s="7" t="n">
        <v>45</v>
      </c>
      <c r="E6" s="8" t="n">
        <f aca="false">D6/(1+'Coût final'!$C$5)</f>
        <v>37.5</v>
      </c>
      <c r="F6" s="9" t="s">
        <v>12</v>
      </c>
      <c r="G6" s="10" t="s">
        <v>16</v>
      </c>
    </row>
    <row r="7" customFormat="false" ht="15" hidden="false" customHeight="false" outlineLevel="0" collapsed="false">
      <c r="A7" s="4" t="s">
        <v>17</v>
      </c>
      <c r="B7" s="5" t="s">
        <v>18</v>
      </c>
      <c r="C7" s="6" t="s">
        <v>11</v>
      </c>
      <c r="D7" s="7" t="n">
        <v>259.95</v>
      </c>
      <c r="E7" s="8" t="n">
        <f aca="false">D7/(1+'Coût final'!$C$5)</f>
        <v>216.625</v>
      </c>
      <c r="F7" s="9" t="s">
        <v>12</v>
      </c>
      <c r="G7" s="10" t="s">
        <v>19</v>
      </c>
    </row>
    <row r="8" customFormat="false" ht="23.85" hidden="false" customHeight="false" outlineLevel="0" collapsed="false">
      <c r="A8" s="4" t="s">
        <v>20</v>
      </c>
      <c r="B8" s="5" t="s">
        <v>21</v>
      </c>
      <c r="C8" s="6" t="s">
        <v>11</v>
      </c>
      <c r="D8" s="7" t="n">
        <v>381.95</v>
      </c>
      <c r="E8" s="8" t="n">
        <f aca="false">D8/(1+'Coût final'!$C$5)</f>
        <v>318.291666666667</v>
      </c>
      <c r="F8" s="9" t="s">
        <v>12</v>
      </c>
      <c r="G8" s="10" t="s">
        <v>22</v>
      </c>
    </row>
    <row r="9" customFormat="false" ht="15" hidden="false" customHeight="false" outlineLevel="0" collapsed="false">
      <c r="A9" s="4" t="s">
        <v>23</v>
      </c>
      <c r="B9" s="5" t="s">
        <v>24</v>
      </c>
      <c r="C9" s="6" t="s">
        <v>11</v>
      </c>
      <c r="D9" s="7" t="n">
        <v>559.95</v>
      </c>
      <c r="E9" s="8" t="n">
        <f aca="false">D9/(1+'Coût final'!$C$5)</f>
        <v>466.625</v>
      </c>
      <c r="F9" s="9" t="s">
        <v>12</v>
      </c>
      <c r="G9" s="10" t="s">
        <v>25</v>
      </c>
    </row>
    <row r="10" customFormat="false" ht="15" hidden="false" customHeight="false" outlineLevel="0" collapsed="false">
      <c r="A10" s="4" t="s">
        <v>26</v>
      </c>
      <c r="B10" s="5" t="s">
        <v>27</v>
      </c>
      <c r="C10" s="6" t="s">
        <v>11</v>
      </c>
      <c r="D10" s="7" t="n">
        <v>199.95</v>
      </c>
      <c r="E10" s="8" t="n">
        <f aca="false">D10/(1+'Coût final'!$C$5)</f>
        <v>166.625</v>
      </c>
      <c r="F10" s="9" t="s">
        <v>12</v>
      </c>
      <c r="G10" s="10"/>
    </row>
    <row r="11" customFormat="false" ht="15" hidden="false" customHeight="false" outlineLevel="0" collapsed="false">
      <c r="A11" s="4" t="s">
        <v>28</v>
      </c>
      <c r="B11" s="5" t="s">
        <v>29</v>
      </c>
      <c r="C11" s="6" t="s">
        <v>11</v>
      </c>
      <c r="D11" s="7" t="n">
        <v>134.95</v>
      </c>
      <c r="E11" s="8" t="n">
        <f aca="false">D11/(1+'Coût final'!$C$5)</f>
        <v>112.458333333333</v>
      </c>
      <c r="F11" s="9" t="s">
        <v>12</v>
      </c>
      <c r="G11" s="10" t="s">
        <v>30</v>
      </c>
    </row>
    <row r="12" customFormat="false" ht="15" hidden="false" customHeight="false" outlineLevel="0" collapsed="false">
      <c r="A12" s="11" t="s">
        <v>31</v>
      </c>
      <c r="B12" s="12"/>
      <c r="C12" s="12"/>
      <c r="D12" s="13" t="n">
        <f aca="false">SUM(D5:D11)</f>
        <v>1981.7</v>
      </c>
      <c r="E12" s="13" t="n">
        <f aca="false">SUM(E5:E11)</f>
        <v>1651.41666666667</v>
      </c>
      <c r="F12" s="14" t="str">
        <f aca="false">COUNTIF(F5:F11,"Oui")&amp;" / 7 ajoutées"</f>
        <v>0 / 7 ajoutées</v>
      </c>
      <c r="G12" s="12"/>
    </row>
    <row r="14" customFormat="false" ht="15" hidden="false" customHeight="false" outlineLevel="0" collapsed="false">
      <c r="A14" s="15" t="s">
        <v>32</v>
      </c>
    </row>
    <row r="15" customFormat="false" ht="15" hidden="false" customHeight="false" outlineLevel="0" collapsed="false">
      <c r="A15" s="16" t="s">
        <v>33</v>
      </c>
    </row>
    <row r="16" customFormat="false" ht="15" hidden="false" customHeight="false" outlineLevel="0" collapsed="false">
      <c r="A16" s="16" t="s">
        <v>34</v>
      </c>
    </row>
  </sheetData>
  <conditionalFormatting sqref="F5:F11">
    <cfRule type="cellIs" priority="2" operator="equal" aboveAverage="0" equalAverage="0" bottom="0" percent="0" rank="0" text="" dxfId="0">
      <formula>"Oui"</formula>
    </cfRule>
  </conditionalFormatting>
  <dataValidations count="1">
    <dataValidation allowBlank="false" errorStyle="stop" operator="between" showDropDown="false" showErrorMessage="false" showInputMessage="false" sqref="F5:F11" type="list">
      <formula1>"Oui,Non"</formula1>
      <formula2>0</formula2>
    </dataValidation>
  </dataValidations>
  <hyperlinks>
    <hyperlink ref="C5" r:id="rId1" display="Voir la fiche"/>
    <hyperlink ref="C6" r:id="rId2" display="Voir la fiche"/>
    <hyperlink ref="C7" r:id="rId3" display="Voir la fiche"/>
    <hyperlink ref="C8" r:id="rId4" display="Voir la fiche"/>
    <hyperlink ref="C9" r:id="rId5" display="Voir la fiche"/>
    <hyperlink ref="C10" r:id="rId6" display="Voir la fiche"/>
    <hyperlink ref="C11" r:id="rId7" display="Voir la fich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88"/>
  </cols>
  <sheetData>
    <row r="1" customFormat="false" ht="25.5" hidden="false" customHeight="tru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30" hidden="false" customHeight="true" outlineLevel="0" collapsed="false">
      <c r="A4" s="3"/>
      <c r="B4" s="3" t="s">
        <v>37</v>
      </c>
      <c r="C4" s="3" t="s">
        <v>38</v>
      </c>
      <c r="D4" s="3" t="s">
        <v>39</v>
      </c>
    </row>
    <row r="5" customFormat="false" ht="15" hidden="false" customHeight="false" outlineLevel="0" collapsed="false">
      <c r="B5" s="17" t="s">
        <v>40</v>
      </c>
      <c r="C5" s="18" t="n">
        <v>0.2</v>
      </c>
      <c r="D5" s="19" t="s">
        <v>41</v>
      </c>
    </row>
    <row r="6" customFormat="false" ht="15" hidden="false" customHeight="false" outlineLevel="0" collapsed="false">
      <c r="B6" s="17" t="s">
        <v>42</v>
      </c>
      <c r="C6" s="20" t="n">
        <v>150</v>
      </c>
      <c r="D6" s="19" t="s">
        <v>43</v>
      </c>
    </row>
    <row r="7" customFormat="false" ht="15" hidden="false" customHeight="false" outlineLevel="0" collapsed="false">
      <c r="B7" s="17" t="s">
        <v>44</v>
      </c>
      <c r="C7" s="18" t="n">
        <v>0.1</v>
      </c>
      <c r="D7" s="19" t="s">
        <v>45</v>
      </c>
    </row>
    <row r="8" customFormat="false" ht="15" hidden="false" customHeight="false" outlineLevel="0" collapsed="false">
      <c r="B8" s="17" t="s">
        <v>46</v>
      </c>
      <c r="C8" s="18" t="n">
        <v>0.02</v>
      </c>
      <c r="D8" s="19" t="s">
        <v>47</v>
      </c>
    </row>
    <row r="9" customFormat="false" ht="15" hidden="false" customHeight="false" outlineLevel="0" collapsed="false">
      <c r="B9" s="17" t="s">
        <v>48</v>
      </c>
      <c r="C9" s="18" t="n">
        <v>0.0125</v>
      </c>
      <c r="D9" s="19" t="s">
        <v>49</v>
      </c>
    </row>
    <row r="10" customFormat="false" ht="15" hidden="false" customHeight="false" outlineLevel="0" collapsed="false">
      <c r="B10" s="17" t="s">
        <v>50</v>
      </c>
      <c r="C10" s="18" t="n">
        <v>0.01</v>
      </c>
      <c r="D10" s="19" t="s">
        <v>51</v>
      </c>
    </row>
    <row r="11" customFormat="false" ht="15" hidden="false" customHeight="false" outlineLevel="0" collapsed="false">
      <c r="B11" s="17" t="s">
        <v>52</v>
      </c>
      <c r="C11" s="21" t="n">
        <v>6</v>
      </c>
      <c r="D11" s="19" t="s">
        <v>53</v>
      </c>
    </row>
    <row r="12" customFormat="false" ht="15" hidden="false" customHeight="false" outlineLevel="0" collapsed="false">
      <c r="B12" s="17" t="s">
        <v>54</v>
      </c>
      <c r="C12" s="18" t="n">
        <v>0.16</v>
      </c>
      <c r="D12" s="19" t="s">
        <v>55</v>
      </c>
    </row>
    <row r="13" customFormat="false" ht="15" hidden="false" customHeight="false" outlineLevel="0" collapsed="false">
      <c r="B13" s="17" t="s">
        <v>56</v>
      </c>
      <c r="C13" s="21" t="n">
        <v>60</v>
      </c>
      <c r="D13" s="19" t="s">
        <v>57</v>
      </c>
    </row>
    <row r="14" customFormat="false" ht="15" hidden="false" customHeight="false" outlineLevel="0" collapsed="false">
      <c r="B14" s="17" t="s">
        <v>58</v>
      </c>
      <c r="C14" s="22" t="n">
        <v>2500</v>
      </c>
      <c r="D14" s="19" t="s">
        <v>59</v>
      </c>
    </row>
    <row r="15" customFormat="false" ht="15" hidden="false" customHeight="false" outlineLevel="0" collapsed="false">
      <c r="B15" s="17" t="s">
        <v>60</v>
      </c>
      <c r="C15" s="23" t="n">
        <v>119.332</v>
      </c>
      <c r="D15" s="19" t="s">
        <v>61</v>
      </c>
    </row>
    <row r="18" customFormat="false" ht="30" hidden="false" customHeight="true" outlineLevel="0" collapsed="false">
      <c r="A18" s="3"/>
      <c r="B18" s="3" t="s">
        <v>62</v>
      </c>
      <c r="C18" s="3" t="s">
        <v>63</v>
      </c>
      <c r="D18" s="3"/>
    </row>
    <row r="19" customFormat="false" ht="15" hidden="false" customHeight="false" outlineLevel="0" collapsed="false">
      <c r="B19" s="17" t="s">
        <v>64</v>
      </c>
      <c r="C19" s="24" t="n">
        <f aca="false">Panier!E12</f>
        <v>1651.41666666667</v>
      </c>
    </row>
    <row r="20" customFormat="false" ht="15" hidden="false" customHeight="false" outlineLevel="0" collapsed="false">
      <c r="B20" s="17" t="s">
        <v>65</v>
      </c>
      <c r="C20" s="24" t="n">
        <f aca="false">C19+C6</f>
        <v>1801.41666666667</v>
      </c>
    </row>
    <row r="21" customFormat="false" ht="15" hidden="false" customHeight="false" outlineLevel="0" collapsed="false">
      <c r="B21" s="17" t="s">
        <v>44</v>
      </c>
      <c r="C21" s="24" t="n">
        <f aca="false">C20*C7</f>
        <v>180.141666666667</v>
      </c>
    </row>
    <row r="22" customFormat="false" ht="15" hidden="false" customHeight="false" outlineLevel="0" collapsed="false">
      <c r="B22" s="17" t="s">
        <v>66</v>
      </c>
      <c r="C22" s="24" t="n">
        <f aca="false">C20*(C8+C9+C10)</f>
        <v>76.5602083333333</v>
      </c>
    </row>
    <row r="23" customFormat="false" ht="15" hidden="false" customHeight="false" outlineLevel="0" collapsed="false">
      <c r="B23" s="17" t="s">
        <v>67</v>
      </c>
      <c r="C23" s="24" t="n">
        <f aca="false">C11</f>
        <v>6</v>
      </c>
    </row>
    <row r="24" customFormat="false" ht="15" hidden="false" customHeight="false" outlineLevel="0" collapsed="false">
      <c r="B24" s="17" t="s">
        <v>68</v>
      </c>
      <c r="C24" s="24" t="n">
        <f aca="false">C20+C21+C22+C23</f>
        <v>2064.11854166667</v>
      </c>
    </row>
    <row r="25" customFormat="false" ht="15" hidden="false" customHeight="false" outlineLevel="0" collapsed="false">
      <c r="B25" s="17" t="s">
        <v>54</v>
      </c>
      <c r="C25" s="24" t="n">
        <f aca="false">C24*C12</f>
        <v>330.258966666667</v>
      </c>
    </row>
    <row r="26" customFormat="false" ht="15" hidden="false" customHeight="false" outlineLevel="0" collapsed="false">
      <c r="B26" s="11" t="s">
        <v>69</v>
      </c>
      <c r="C26" s="13" t="n">
        <f aca="false">C21+C22+C23+C25</f>
        <v>592.960841666667</v>
      </c>
    </row>
    <row r="27" customFormat="false" ht="15" hidden="false" customHeight="false" outlineLevel="0" collapsed="false">
      <c r="B27" s="17" t="s">
        <v>70</v>
      </c>
      <c r="C27" s="25" t="n">
        <f aca="false">ROUND(C26*C15,0)</f>
        <v>70759</v>
      </c>
    </row>
    <row r="28" customFormat="false" ht="15" hidden="false" customHeight="false" outlineLevel="0" collapsed="false">
      <c r="B28" s="17" t="s">
        <v>56</v>
      </c>
      <c r="C28" s="24" t="n">
        <f aca="false">C13</f>
        <v>60</v>
      </c>
    </row>
    <row r="29" customFormat="false" ht="15" hidden="false" customHeight="false" outlineLevel="0" collapsed="false">
      <c r="B29" s="26" t="s">
        <v>71</v>
      </c>
      <c r="C29" s="27" t="n">
        <f aca="false">C20+C26+C28</f>
        <v>2454.37750833333</v>
      </c>
    </row>
    <row r="30" customFormat="false" ht="15" hidden="false" customHeight="false" outlineLevel="0" collapsed="false">
      <c r="B30" s="11" t="s">
        <v>72</v>
      </c>
      <c r="C30" s="28" t="n">
        <f aca="false">ROUND(C29*C15,0)</f>
        <v>292886</v>
      </c>
    </row>
    <row r="31" customFormat="false" ht="15" hidden="false" customHeight="false" outlineLevel="0" collapsed="false">
      <c r="B31" s="17" t="s">
        <v>73</v>
      </c>
      <c r="C31" s="24" t="n">
        <f aca="false">C14-C29</f>
        <v>45.6224916666665</v>
      </c>
    </row>
    <row r="32" customFormat="false" ht="15" hidden="false" customHeight="false" outlineLevel="0" collapsed="false">
      <c r="B32" s="17" t="s">
        <v>74</v>
      </c>
      <c r="C32" s="29" t="str">
        <f aca="false">IF(C31&gt;=0,"Dans le budget, marge de "&amp;ROUND(C31,0)&amp;" €","Hors budget de "&amp;ROUND(-C31,0)&amp;" €")</f>
        <v>Dans le budget, marge de 46 €</v>
      </c>
    </row>
    <row r="33" customFormat="false" ht="15" hidden="false" customHeight="false" outlineLevel="0" collapsed="false">
      <c r="B33" s="17" t="s">
        <v>75</v>
      </c>
      <c r="C33" s="24" t="n">
        <f aca="false">MAX(0,C6+C31/((1+C7+C8+C9+C10)*(1+C12)))</f>
        <v>184.424275006917</v>
      </c>
    </row>
    <row r="35" customFormat="false" ht="15" hidden="false" customHeight="false" outlineLevel="0" collapsed="false">
      <c r="B35" s="2" t="s">
        <v>76</v>
      </c>
    </row>
  </sheetData>
  <conditionalFormatting sqref="C31:C32">
    <cfRule type="expression" priority="2" aboveAverage="0" equalAverage="0" bottom="0" percent="0" rank="0" text="" dxfId="1">
      <formula>$C$31&lt;0</formula>
    </cfRule>
    <cfRule type="expression" priority="3" aboveAverage="0" equalAverage="0" bottom="0" percent="0" rank="0" text="" dxfId="2">
      <formula>$C$31&gt;=0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17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11"/>
  </cols>
  <sheetData>
    <row r="1" customFormat="false" ht="25.5" hidden="false" customHeight="tru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30" hidden="false" customHeight="true" outlineLevel="0" collapsed="false">
      <c r="A4" s="3" t="s">
        <v>79</v>
      </c>
      <c r="B4" s="3" t="s">
        <v>80</v>
      </c>
      <c r="C4" s="3" t="s">
        <v>4</v>
      </c>
      <c r="D4" s="3" t="s">
        <v>81</v>
      </c>
      <c r="E4" s="3" t="s">
        <v>82</v>
      </c>
      <c r="F4" s="3" t="s">
        <v>83</v>
      </c>
      <c r="G4" s="3" t="s">
        <v>84</v>
      </c>
      <c r="H4" s="3" t="s">
        <v>85</v>
      </c>
      <c r="I4" s="3" t="s">
        <v>86</v>
      </c>
    </row>
    <row r="5" customFormat="false" ht="15" hidden="false" customHeight="false" outlineLevel="0" collapsed="false">
      <c r="A5" s="30" t="s">
        <v>87</v>
      </c>
      <c r="B5" s="17" t="s">
        <v>88</v>
      </c>
      <c r="C5" s="31" t="s">
        <v>11</v>
      </c>
      <c r="D5" s="21" t="n">
        <v>229.95</v>
      </c>
      <c r="E5" s="32" t="n">
        <f aca="false">Panier!D7</f>
        <v>259.95</v>
      </c>
      <c r="F5" s="24" t="n">
        <f aca="false">D5-E5</f>
        <v>-30</v>
      </c>
      <c r="G5" s="33" t="n">
        <f aca="false">'Coût final'!$C$29+F5*(1+'Coût final'!$C$7+'Coût final'!$C$8+'Coût final'!$C$9+'Coût final'!$C$10)*(1+'Coût final'!$C$12)/(1+'Coût final'!$C$5)</f>
        <v>2421.24500833333</v>
      </c>
      <c r="H5" s="25" t="n">
        <f aca="false">ROUND(G5*'Coût final'!$C$15,0)</f>
        <v>288932</v>
      </c>
      <c r="I5" s="34" t="str">
        <f aca="false">IF(G5&lt;='Coût final'!$C$14,"OK","Dépasse")</f>
        <v>OK</v>
      </c>
    </row>
    <row r="6" customFormat="false" ht="15" hidden="false" customHeight="false" outlineLevel="0" collapsed="false">
      <c r="A6" s="30" t="s">
        <v>89</v>
      </c>
      <c r="B6" s="17" t="s">
        <v>90</v>
      </c>
      <c r="C6" s="31" t="s">
        <v>11</v>
      </c>
      <c r="D6" s="21" t="n">
        <v>99.95</v>
      </c>
      <c r="E6" s="32" t="n">
        <f aca="false">Panier!D11</f>
        <v>134.95</v>
      </c>
      <c r="F6" s="24" t="n">
        <f aca="false">D6-E6</f>
        <v>-35</v>
      </c>
      <c r="G6" s="33" t="n">
        <f aca="false">'Coût final'!$C$29+F6*(1+'Coût final'!$C$7+'Coût final'!$C$8+'Coût final'!$C$9+'Coût final'!$C$10)*(1+'Coût final'!$C$12)/(1+'Coût final'!$C$5)</f>
        <v>2415.722925</v>
      </c>
      <c r="H6" s="25" t="n">
        <f aca="false">ROUND(G6*'Coût final'!$C$15,0)</f>
        <v>288273</v>
      </c>
      <c r="I6" s="34" t="str">
        <f aca="false">IF(G6&lt;='Coût final'!$C$14,"OK","Dépasse")</f>
        <v>OK</v>
      </c>
    </row>
    <row r="7" customFormat="false" ht="15" hidden="false" customHeight="false" outlineLevel="0" collapsed="false">
      <c r="A7" s="30" t="s">
        <v>91</v>
      </c>
      <c r="B7" s="17" t="s">
        <v>92</v>
      </c>
      <c r="C7" s="31" t="s">
        <v>11</v>
      </c>
      <c r="D7" s="21" t="n">
        <v>549.95</v>
      </c>
      <c r="E7" s="32" t="n">
        <f aca="false">Panier!D9</f>
        <v>559.95</v>
      </c>
      <c r="F7" s="24" t="n">
        <f aca="false">D7-E7</f>
        <v>-10</v>
      </c>
      <c r="G7" s="33" t="n">
        <f aca="false">'Coût final'!$C$29+F7*(1+'Coût final'!$C$7+'Coût final'!$C$8+'Coût final'!$C$9+'Coût final'!$C$10)*(1+'Coût final'!$C$12)/(1+'Coût final'!$C$5)</f>
        <v>2443.33334166667</v>
      </c>
      <c r="H7" s="25" t="n">
        <f aca="false">ROUND(G7*'Coût final'!$C$15,0)</f>
        <v>291568</v>
      </c>
      <c r="I7" s="34" t="str">
        <f aca="false">IF(G7&lt;='Coût final'!$C$14,"OK","Dépasse")</f>
        <v>OK</v>
      </c>
    </row>
    <row r="8" customFormat="false" ht="15" hidden="false" customHeight="false" outlineLevel="0" collapsed="false">
      <c r="A8" s="30" t="s">
        <v>93</v>
      </c>
      <c r="B8" s="17" t="s">
        <v>94</v>
      </c>
      <c r="C8" s="31" t="s">
        <v>11</v>
      </c>
      <c r="D8" s="21" t="n">
        <v>609.95</v>
      </c>
      <c r="E8" s="32" t="n">
        <f aca="false">Panier!D8</f>
        <v>381.95</v>
      </c>
      <c r="F8" s="24" t="n">
        <f aca="false">D8-E8</f>
        <v>228</v>
      </c>
      <c r="G8" s="33" t="n">
        <f aca="false">'Coût final'!$C$29+F8*(1+'Coût final'!$C$7+'Coût final'!$C$8+'Coût final'!$C$9+'Coût final'!$C$10)*(1+'Coût final'!$C$12)/(1+'Coût final'!$C$5)</f>
        <v>2706.18450833333</v>
      </c>
      <c r="H8" s="25" t="n">
        <f aca="false">ROUND(G8*'Coût final'!$C$15,0)</f>
        <v>322934</v>
      </c>
      <c r="I8" s="34" t="str">
        <f aca="false">IF(G8&lt;='Coût final'!$C$14,"OK","Dépasse")</f>
        <v>Dépasse</v>
      </c>
    </row>
    <row r="10" customFormat="false" ht="15" hidden="false" customHeight="false" outlineLevel="0" collapsed="false">
      <c r="A10" s="16" t="s">
        <v>95</v>
      </c>
    </row>
  </sheetData>
  <conditionalFormatting sqref="I5:I8">
    <cfRule type="cellIs" priority="2" operator="equal" aboveAverage="0" equalAverage="0" bottom="0" percent="0" rank="0" text="" dxfId="3">
      <formula>"OK"</formula>
    </cfRule>
    <cfRule type="cellIs" priority="3" operator="equal" aboveAverage="0" equalAverage="0" bottom="0" percent="0" rank="0" text="" dxfId="4">
      <formula>"Dépasse"</formula>
    </cfRule>
  </conditionalFormatting>
  <hyperlinks>
    <hyperlink ref="C5" r:id="rId1" display="Voir la fiche"/>
    <hyperlink ref="C6" r:id="rId2" display="Voir la fiche"/>
    <hyperlink ref="C7" r:id="rId3" display="Voir la fiche"/>
    <hyperlink ref="C8" r:id="rId4" display="Voir la fich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34"/>
  </cols>
  <sheetData>
    <row r="1" customFormat="false" ht="25.5" hidden="false" customHeight="true" outlineLevel="0" collapsed="false">
      <c r="A1" s="1" t="s">
        <v>96</v>
      </c>
    </row>
    <row r="2" customFormat="false" ht="15" hidden="false" customHeight="false" outlineLevel="0" collapsed="false">
      <c r="A2" s="2" t="s">
        <v>97</v>
      </c>
    </row>
    <row r="4" customFormat="false" ht="30" hidden="false" customHeight="true" outlineLevel="0" collapsed="false">
      <c r="A4" s="3" t="s">
        <v>98</v>
      </c>
      <c r="B4" s="3" t="s">
        <v>99</v>
      </c>
      <c r="C4" s="3" t="s">
        <v>100</v>
      </c>
    </row>
    <row r="5" customFormat="false" ht="15" hidden="false" customHeight="false" outlineLevel="0" collapsed="false">
      <c r="A5" s="30" t="s">
        <v>101</v>
      </c>
      <c r="B5" s="17" t="s">
        <v>102</v>
      </c>
      <c r="C5" s="17" t="s">
        <v>103</v>
      </c>
    </row>
    <row r="6" customFormat="false" ht="15" hidden="false" customHeight="false" outlineLevel="0" collapsed="false">
      <c r="A6" s="30" t="s">
        <v>104</v>
      </c>
      <c r="B6" s="17" t="s">
        <v>105</v>
      </c>
      <c r="C6" s="17" t="s">
        <v>106</v>
      </c>
    </row>
    <row r="7" customFormat="false" ht="15" hidden="false" customHeight="false" outlineLevel="0" collapsed="false">
      <c r="A7" s="30" t="s">
        <v>107</v>
      </c>
      <c r="B7" s="17" t="s">
        <v>108</v>
      </c>
      <c r="C7" s="17" t="s">
        <v>109</v>
      </c>
    </row>
    <row r="8" customFormat="false" ht="15" hidden="false" customHeight="false" outlineLevel="0" collapsed="false">
      <c r="A8" s="30" t="s">
        <v>110</v>
      </c>
      <c r="B8" s="17" t="s">
        <v>111</v>
      </c>
      <c r="C8" s="17" t="s">
        <v>112</v>
      </c>
    </row>
    <row r="9" customFormat="false" ht="15" hidden="false" customHeight="false" outlineLevel="0" collapsed="false">
      <c r="A9" s="16" t="s">
        <v>113</v>
      </c>
    </row>
    <row r="11" customFormat="false" ht="15" hidden="false" customHeight="false" outlineLevel="0" collapsed="false">
      <c r="A11" s="35" t="s">
        <v>114</v>
      </c>
    </row>
    <row r="12" customFormat="false" ht="15" hidden="false" customHeight="false" outlineLevel="0" collapsed="false">
      <c r="A12" s="36" t="s">
        <v>115</v>
      </c>
    </row>
    <row r="13" customFormat="false" ht="15" hidden="false" customHeight="false" outlineLevel="0" collapsed="false">
      <c r="A13" s="36" t="s">
        <v>116</v>
      </c>
    </row>
    <row r="14" customFormat="false" ht="15" hidden="false" customHeight="false" outlineLevel="0" collapsed="false">
      <c r="A14" s="36" t="s">
        <v>117</v>
      </c>
    </row>
    <row r="15" customFormat="false" ht="15" hidden="false" customHeight="false" outlineLevel="0" collapsed="false">
      <c r="A15" s="36" t="s">
        <v>118</v>
      </c>
    </row>
    <row r="16" customFormat="false" ht="15" hidden="false" customHeight="false" outlineLevel="0" collapsed="false">
      <c r="A16" s="36" t="s">
        <v>119</v>
      </c>
    </row>
    <row r="17" customFormat="false" ht="15" hidden="false" customHeight="false" outlineLevel="0" collapsed="false">
      <c r="A17" s="36" t="s">
        <v>120</v>
      </c>
    </row>
    <row r="18" customFormat="false" ht="15" hidden="false" customHeight="false" outlineLevel="0" collapsed="false">
      <c r="A18" s="36" t="s">
        <v>121</v>
      </c>
    </row>
    <row r="19" customFormat="false" ht="15" hidden="false" customHeight="false" outlineLevel="0" collapsed="false">
      <c r="A19" s="36" t="s">
        <v>122</v>
      </c>
    </row>
    <row r="21" customFormat="false" ht="15" hidden="false" customHeight="false" outlineLevel="0" collapsed="false">
      <c r="A21" s="35" t="s">
        <v>123</v>
      </c>
    </row>
    <row r="22" customFormat="false" ht="15" hidden="false" customHeight="false" outlineLevel="0" collapsed="false">
      <c r="A22" s="37" t="s">
        <v>124</v>
      </c>
    </row>
    <row r="23" customFormat="false" ht="15" hidden="false" customHeight="false" outlineLevel="0" collapsed="false">
      <c r="A23" s="37" t="s">
        <v>125</v>
      </c>
    </row>
    <row r="24" customFormat="false" ht="15" hidden="false" customHeight="false" outlineLevel="0" collapsed="false">
      <c r="A24" s="37" t="s">
        <v>126</v>
      </c>
    </row>
  </sheetData>
  <hyperlinks>
    <hyperlink ref="A22" r:id="rId1" display="LDLC, livraison dans les DOM-TOM"/>
    <hyperlink ref="A23" r:id="rId2" display="Douane de Polynésie française, taxation du matériel électronique"/>
    <hyperlink ref="A24" r:id="rId3" display="Douane, 10 questions sur l'export vers la Polynési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2026-10-01T20:18:09Z</dcterms:created>
  <dc:creator>openpyxl</dc:creator>
  <dc:description/>
  <dc:language>en-US</dc:language>
  <cp:lastModifiedBy/>
  <dcterms:modified xsi:type="dcterms:W3CDTF">2026-10-01T20:18:09Z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